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anay H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mmmm yyyy"/>
    <numFmt numFmtId="165" formatCode="dd-mmm-yyyy"/>
    <numFmt numFmtId="166" formatCode="dd-mmmm-yyyy"/>
    <numFmt numFmtId="167" formatCode="d-mmm-yyyy"/>
    <numFmt numFmtId="168" formatCode="mmm yyyy"/>
  </numFmts>
  <fonts count="12">
    <font>
      <name val="Arial"/>
      <color rgb="FF000000"/>
      <sz val="10"/>
      <scheme val="minor"/>
    </font>
    <font>
      <name val="Arial"/>
      <b val="1"/>
      <color rgb="FF000000"/>
      <scheme val="minor"/>
    </font>
    <font>
      <name val="Calibri"/>
      <color rgb="FF000000"/>
      <sz val="9"/>
    </font>
    <font>
      <name val="Verdana"/>
      <color rgb="FF000000"/>
      <sz val="8"/>
    </font>
    <font>
      <name val="Arial"/>
      <color rgb="FF000000"/>
      <scheme val="minor"/>
    </font>
    <font>
      <name val="Calibri"/>
      <color theme="1"/>
      <sz val="9"/>
    </font>
    <font>
      <name val="Arial"/>
      <color theme="1"/>
      <scheme val="minor"/>
    </font>
    <font>
      <name val="Calibri"/>
      <color rgb="FF000000"/>
      <sz val="9"/>
      <u val="single"/>
    </font>
    <font>
      <name val="Calibri"/>
      <color rgb="FF000000"/>
    </font>
    <font>
      <name val="Calibri"/>
      <color rgb="FF000000"/>
      <sz val="10"/>
    </font>
    <font>
      <name val="Calibri"/>
      <b val="1"/>
      <color rgb="FF000000"/>
      <sz val="9"/>
    </font>
    <font>
      <name val="Verdana"/>
      <b val="1"/>
      <color rgb="FF000000"/>
      <sz val="8"/>
    </font>
  </fonts>
  <fills count="7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B084"/>
        <bgColor rgb="FFF4B084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ED7D31"/>
      </patternFill>
    </fill>
    <fill>
      <patternFill patternType="solid">
        <fgColor rgb="FF92D050"/>
        <bgColor rgb="FF92D05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numFmtId="0" fontId="0" fillId="0" borderId="0"/>
  </cellStyleXfs>
  <cellXfs count="6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1" applyAlignment="1" pivotButton="0" quotePrefix="0" xfId="0">
      <alignment vertical="bottom"/>
    </xf>
    <xf numFmtId="0" fontId="3" fillId="2" borderId="1" applyAlignment="1" pivotButton="0" quotePrefix="0" xfId="0">
      <alignment horizontal="left"/>
    </xf>
    <xf numFmtId="0" fontId="4" fillId="0" borderId="0" pivotButton="0" quotePrefix="0" xfId="0"/>
    <xf numFmtId="0" fontId="4" fillId="2" borderId="0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left" vertical="bottom"/>
    </xf>
    <xf numFmtId="0" fontId="3" fillId="2" borderId="1" applyAlignment="1" pivotButton="0" quotePrefix="0" xfId="0">
      <alignment horizontal="right"/>
    </xf>
    <xf numFmtId="0" fontId="2" fillId="0" borderId="0" applyAlignment="1" pivotButton="0" quotePrefix="0" xfId="0">
      <alignment horizontal="right" vertical="bottom"/>
    </xf>
    <xf numFmtId="0" fontId="4" fillId="0" borderId="0" pivotButton="0" quotePrefix="0" xfId="0"/>
    <xf numFmtId="0" fontId="2" fillId="3" borderId="2" applyAlignment="1" pivotButton="0" quotePrefix="0" xfId="0">
      <alignment horizontal="left" vertical="bottom"/>
    </xf>
    <xf numFmtId="0" fontId="2" fillId="0" borderId="1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5" fillId="0" borderId="1" applyAlignment="1" pivotButton="0" quotePrefix="0" xfId="0">
      <alignment horizontal="right"/>
    </xf>
    <xf numFmtId="0" fontId="6" fillId="0" borderId="1" pivotButton="0" quotePrefix="0" xfId="0"/>
    <xf numFmtId="0" fontId="3" fillId="2" borderId="0" applyAlignment="1" pivotButton="0" quotePrefix="0" xfId="0">
      <alignment horizontal="left"/>
    </xf>
    <xf numFmtId="0" fontId="2" fillId="0" borderId="0" applyAlignment="1" pivotButton="0" quotePrefix="0" xfId="0">
      <alignment vertical="bottom"/>
    </xf>
    <xf numFmtId="0" fontId="2" fillId="4" borderId="0" applyAlignment="1" pivotButton="0" quotePrefix="0" xfId="0">
      <alignment horizontal="right" vertical="bottom"/>
    </xf>
    <xf numFmtId="0" fontId="2" fillId="2" borderId="0" applyAlignment="1" pivotButton="0" quotePrefix="0" xfId="0">
      <alignment horizontal="right" vertical="bottom"/>
    </xf>
    <xf numFmtId="0" fontId="7" fillId="5" borderId="1" applyAlignment="1" pivotButton="0" quotePrefix="0" xfId="0">
      <alignment vertical="bottom"/>
    </xf>
    <xf numFmtId="0" fontId="2" fillId="5" borderId="3" applyAlignment="1" pivotButton="0" quotePrefix="0" xfId="0">
      <alignment vertical="bottom"/>
    </xf>
    <xf numFmtId="0" fontId="2" fillId="5" borderId="1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2" fillId="0" borderId="2" applyAlignment="1" pivotButton="0" quotePrefix="0" xfId="0">
      <alignment horizontal="right" vertical="bottom"/>
    </xf>
    <xf numFmtId="164" fontId="4" fillId="0" borderId="0" pivotButton="0" quotePrefix="0" xfId="0"/>
    <xf numFmtId="0" fontId="4" fillId="0" borderId="1" pivotButton="0" quotePrefix="0" xfId="0"/>
    <xf numFmtId="4" fontId="8" fillId="2" borderId="1" applyAlignment="1" pivotButton="0" quotePrefix="0" xfId="0">
      <alignment horizontal="right" vertical="bottom"/>
    </xf>
    <xf numFmtId="0" fontId="9" fillId="2" borderId="1" pivotButton="0" quotePrefix="0" xfId="0"/>
    <xf numFmtId="0" fontId="9" fillId="2" borderId="0" pivotButton="0" quotePrefix="0" xfId="0"/>
    <xf numFmtId="0" fontId="9" fillId="2" borderId="0" applyAlignment="1" pivotButton="0" quotePrefix="0" xfId="0">
      <alignment vertical="bottom"/>
    </xf>
    <xf numFmtId="0" fontId="9" fillId="2" borderId="0" pivotButton="0" quotePrefix="0" xfId="0"/>
    <xf numFmtId="4" fontId="3" fillId="0" borderId="1" applyAlignment="1" pivotButton="0" quotePrefix="0" xfId="0">
      <alignment horizontal="right"/>
    </xf>
    <xf numFmtId="4" fontId="8" fillId="2" borderId="0" applyAlignment="1" pivotButton="0" quotePrefix="0" xfId="0">
      <alignment horizontal="right" vertical="bottom"/>
    </xf>
    <xf numFmtId="4" fontId="9" fillId="2" borderId="1" applyAlignment="1" pivotButton="0" quotePrefix="0" xfId="0">
      <alignment horizontal="right" vertical="bottom"/>
    </xf>
    <xf numFmtId="4" fontId="3" fillId="2" borderId="0" applyAlignment="1" pivotButton="0" quotePrefix="0" xfId="0">
      <alignment horizontal="right"/>
    </xf>
    <xf numFmtId="0" fontId="2" fillId="0" borderId="2" applyAlignment="1" pivotButton="0" quotePrefix="0" xfId="0">
      <alignment vertical="bottom"/>
    </xf>
    <xf numFmtId="0" fontId="9" fillId="2" borderId="1" pivotButton="0" quotePrefix="0" xfId="0"/>
    <xf numFmtId="0" fontId="9" fillId="2" borderId="0" applyAlignment="1" pivotButton="0" quotePrefix="0" xfId="0">
      <alignment horizontal="right" vertical="bottom"/>
    </xf>
    <xf numFmtId="4" fontId="9" fillId="2" borderId="0" applyAlignment="1" pivotButton="0" quotePrefix="0" xfId="0">
      <alignment horizontal="right" vertical="bottom"/>
    </xf>
    <xf numFmtId="0" fontId="2" fillId="0" borderId="2" applyAlignment="1" pivotButton="0" quotePrefix="0" xfId="0">
      <alignment vertical="bottom"/>
    </xf>
    <xf numFmtId="0" fontId="10" fillId="0" borderId="4" applyAlignment="1" pivotButton="0" quotePrefix="0" xfId="0">
      <alignment vertical="bottom"/>
    </xf>
    <xf numFmtId="0" fontId="10" fillId="0" borderId="5" applyAlignment="1" pivotButton="0" quotePrefix="0" xfId="0">
      <alignment vertical="bottom"/>
    </xf>
    <xf numFmtId="4" fontId="10" fillId="0" borderId="2" applyAlignment="1" pivotButton="0" quotePrefix="0" xfId="0">
      <alignment vertical="bottom"/>
    </xf>
    <xf numFmtId="0" fontId="10" fillId="0" borderId="2" applyAlignment="1" pivotButton="0" quotePrefix="0" xfId="0">
      <alignment vertical="bottom"/>
    </xf>
    <xf numFmtId="0" fontId="10" fillId="2" borderId="0" applyAlignment="1" pivotButton="0" quotePrefix="0" xfId="0">
      <alignment vertical="bottom"/>
    </xf>
    <xf numFmtId="0" fontId="2" fillId="0" borderId="4" applyAlignment="1" pivotButton="0" quotePrefix="0" xfId="0">
      <alignment horizontal="right" vertical="bottom"/>
    </xf>
    <xf numFmtId="0" fontId="10" fillId="3" borderId="4" applyAlignment="1" pivotButton="0" quotePrefix="0" xfId="0">
      <alignment vertical="bottom"/>
    </xf>
    <xf numFmtId="0" fontId="2" fillId="4" borderId="4" applyAlignment="1" pivotButton="0" quotePrefix="0" xfId="0">
      <alignment horizontal="right" vertical="bottom"/>
    </xf>
    <xf numFmtId="0" fontId="2" fillId="2" borderId="4" applyAlignment="1" pivotButton="0" quotePrefix="0" xfId="0">
      <alignment horizontal="right" vertical="bottom"/>
    </xf>
    <xf numFmtId="0" fontId="2" fillId="2" borderId="2" applyAlignment="1" pivotButton="0" quotePrefix="0" xfId="0">
      <alignment horizontal="right" vertical="bottom"/>
    </xf>
    <xf numFmtId="0" fontId="2" fillId="6" borderId="4" applyAlignment="1" pivotButton="0" quotePrefix="0" xfId="0">
      <alignment horizontal="right" vertical="bottom"/>
    </xf>
    <xf numFmtId="164" fontId="4" fillId="2" borderId="0" pivotButton="0" quotePrefix="0" xfId="0"/>
    <xf numFmtId="0" fontId="11" fillId="2" borderId="0" applyAlignment="1" pivotButton="0" quotePrefix="0" xfId="0">
      <alignment horizontal="right"/>
    </xf>
    <xf numFmtId="164" fontId="3" fillId="2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166" fontId="3" fillId="2" borderId="0" applyAlignment="1" pivotButton="0" quotePrefix="0" xfId="0">
      <alignment horizontal="right"/>
    </xf>
    <xf numFmtId="167" fontId="3" fillId="2" borderId="0" applyAlignment="1" pivotButton="0" quotePrefix="0" xfId="0">
      <alignment horizontal="right"/>
    </xf>
    <xf numFmtId="4" fontId="4" fillId="0" borderId="0" pivotButton="0" quotePrefix="0" xfId="0"/>
    <xf numFmtId="168" fontId="3" fillId="2" borderId="0" applyAlignment="1" pivotButton="0" quotePrefix="0" xfId="0">
      <alignment horizontal="right"/>
    </xf>
    <xf numFmtId="3" fontId="3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right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sr.no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62" min="3" max="3"/>
    <col width="20.75" customWidth="1" style="62" min="4" max="4"/>
    <col width="8.380000000000001" customWidth="1" style="62" min="5" max="5"/>
    <col width="11.25" customWidth="1" style="62" min="6" max="6"/>
    <col width="13.38" customWidth="1" style="62" min="7" max="7"/>
    <col width="16.63" customWidth="1" style="62" min="8" max="8"/>
    <col width="11.63" customWidth="1" style="62" min="9" max="9"/>
    <col width="10.63" customWidth="1" style="62" min="10" max="11"/>
    <col width="11.88" customWidth="1" style="62" min="12" max="12"/>
    <col width="10.63" customWidth="1" style="62" min="13" max="14"/>
    <col width="12.88" customWidth="1" style="62" min="15" max="15"/>
    <col width="10.63" customWidth="1" style="62" min="16" max="17"/>
    <col width="12.13" customWidth="1" style="62" min="18" max="18"/>
    <col width="10.63" customWidth="1" style="62" min="19" max="20"/>
    <col width="11.38" customWidth="1" style="62" min="21" max="21"/>
    <col width="10.63" customWidth="1" style="62" min="22" max="29"/>
  </cols>
  <sheetData>
    <row r="1">
      <c r="A1" s="1" t="n"/>
      <c r="B1" s="2" t="inlineStr">
        <is>
          <t>Consumer Name</t>
        </is>
      </c>
      <c r="D1" s="3" t="inlineStr">
        <is>
          <t>RANJANA MADHUSHAM KHOBRAGADE</t>
        </is>
      </c>
      <c r="E1" s="10" t="n"/>
      <c r="F1" s="10" t="n"/>
      <c r="H1" s="3" t="inlineStr">
        <is>
          <t>Ranjana Khobragade</t>
        </is>
      </c>
      <c r="I1" s="10" t="n"/>
      <c r="J1" s="10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</row>
    <row r="2">
      <c r="A2" s="10" t="n"/>
      <c r="B2" s="7" t="inlineStr">
        <is>
          <t>Consumer No</t>
        </is>
      </c>
      <c r="D2" s="8" t="inlineStr">
        <is>
          <t>439322232375</t>
        </is>
      </c>
      <c r="E2" s="9" t="n"/>
      <c r="F2" s="10" t="n"/>
      <c r="H2" s="8" t="n">
        <v>439322232375</v>
      </c>
      <c r="I2" s="9" t="n"/>
      <c r="J2" s="10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10" t="n"/>
      <c r="B3" s="11" t="inlineStr">
        <is>
          <t>Fixed Charges</t>
        </is>
      </c>
      <c r="D3" s="12" t="n">
        <v>137.6</v>
      </c>
      <c r="E3" s="17" t="n"/>
      <c r="F3" s="10" t="n"/>
      <c r="H3" s="12" t="n">
        <v>130</v>
      </c>
      <c r="I3" s="17" t="n"/>
      <c r="J3" s="10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</row>
    <row r="4">
      <c r="A4" s="10" t="n"/>
      <c r="B4" s="11" t="inlineStr">
        <is>
          <t>Sanct. Load (kW)</t>
        </is>
      </c>
      <c r="D4" s="12" t="n">
        <v>1</v>
      </c>
      <c r="E4" s="9" t="n"/>
      <c r="F4" s="10" t="n"/>
      <c r="H4" s="12" t="inlineStr">
        <is>
          <t>1KW</t>
        </is>
      </c>
      <c r="I4" s="9" t="n"/>
      <c r="J4" s="10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</row>
    <row r="5">
      <c r="A5" s="10" t="n"/>
      <c r="B5" s="11" t="inlineStr">
        <is>
          <t>Connection Type</t>
        </is>
      </c>
      <c r="D5" s="14" t="inlineStr">
        <is>
          <t>90/LT I Res 1-Phase</t>
        </is>
      </c>
      <c r="E5" s="17" t="n"/>
      <c r="F5" s="10" t="n"/>
      <c r="H5" s="15" t="inlineStr">
        <is>
          <t>90/LT I Res 1- Phase</t>
        </is>
      </c>
      <c r="I5" s="17" t="n"/>
      <c r="J5" s="10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</row>
    <row r="6">
      <c r="A6" s="10" t="n"/>
      <c r="B6" s="16" t="inlineStr">
        <is>
          <t>Contract Demand (KVA) :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</row>
    <row r="7">
      <c r="A7" s="17" t="n"/>
      <c r="B7" s="17" t="inlineStr">
        <is>
          <t>Solar Pannel used</t>
        </is>
      </c>
      <c r="C7" s="18" t="n">
        <v>600</v>
      </c>
      <c r="D7" s="17" t="n"/>
      <c r="E7" s="17" t="n"/>
      <c r="F7" s="17" t="n"/>
      <c r="G7" s="19" t="n"/>
      <c r="H7" s="17" t="n"/>
      <c r="I7" s="17" t="n"/>
      <c r="J7" s="17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</row>
    <row r="8">
      <c r="A8" s="17" t="n"/>
      <c r="B8" s="20" t="inlineStr">
        <is>
          <t>Sr.No</t>
        </is>
      </c>
      <c r="C8" s="21" t="inlineStr">
        <is>
          <t>Month</t>
        </is>
      </c>
      <c r="D8" s="22" t="inlineStr">
        <is>
          <t xml:space="preserve">Units </t>
        </is>
      </c>
      <c r="E8" s="21" t="inlineStr">
        <is>
          <t>Bill Amount</t>
        </is>
      </c>
      <c r="F8" s="22" t="inlineStr">
        <is>
          <t>Unit Cost</t>
        </is>
      </c>
      <c r="G8" s="21" t="inlineStr">
        <is>
          <t>Month</t>
        </is>
      </c>
      <c r="H8" s="22" t="inlineStr">
        <is>
          <t xml:space="preserve">Units </t>
        </is>
      </c>
      <c r="I8" s="21" t="inlineStr">
        <is>
          <t>Bill Amount</t>
        </is>
      </c>
      <c r="J8" s="22" t="inlineStr">
        <is>
          <t>Unit Cost</t>
        </is>
      </c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  <c r="AB8" s="23" t="n"/>
      <c r="AC8" s="23" t="n"/>
    </row>
    <row r="9">
      <c r="A9" s="17" t="n"/>
      <c r="B9" s="24" t="n">
        <v>2</v>
      </c>
      <c r="C9" s="25" t="n">
        <v>45689</v>
      </c>
      <c r="D9" s="26" t="n">
        <v>137</v>
      </c>
      <c r="E9" s="27" t="n"/>
      <c r="F9" s="37" t="n"/>
      <c r="G9" s="25" t="n">
        <v>45689</v>
      </c>
      <c r="H9" s="26" t="n">
        <v>82</v>
      </c>
      <c r="I9" s="27" t="n"/>
      <c r="J9" s="37" t="n"/>
      <c r="K9" s="31" t="n"/>
      <c r="L9" s="6" t="n"/>
      <c r="M9" s="30" t="n"/>
      <c r="N9" s="31" t="n"/>
      <c r="O9" s="6" t="n"/>
      <c r="P9" s="30" t="n"/>
      <c r="Q9" s="31" t="n"/>
      <c r="R9" s="6" t="n"/>
      <c r="S9" s="30" t="n"/>
      <c r="T9" s="31" t="n"/>
      <c r="U9" s="6" t="n"/>
      <c r="V9" s="30" t="n"/>
      <c r="W9" s="31" t="n"/>
      <c r="X9" s="6" t="n"/>
      <c r="Y9" s="30" t="n"/>
      <c r="Z9" s="31" t="n"/>
      <c r="AA9" s="6" t="n"/>
      <c r="AB9" s="30" t="n"/>
      <c r="AC9" s="31" t="n"/>
    </row>
    <row r="10">
      <c r="A10" s="17" t="n"/>
      <c r="B10" s="24" t="n">
        <v>3</v>
      </c>
      <c r="C10" s="25" t="n">
        <v>45717</v>
      </c>
      <c r="D10" s="26" t="n">
        <v>35</v>
      </c>
      <c r="E10" s="27" t="n"/>
      <c r="F10" s="37" t="n"/>
      <c r="G10" s="25" t="n">
        <v>45717</v>
      </c>
      <c r="H10" s="26" t="n">
        <v>27</v>
      </c>
      <c r="I10" s="27" t="n"/>
      <c r="J10" s="37" t="n"/>
      <c r="K10" s="31" t="n"/>
      <c r="L10" s="6" t="n"/>
      <c r="M10" s="31" t="n"/>
      <c r="N10" s="31" t="n"/>
      <c r="O10" s="6" t="n"/>
      <c r="P10" s="31" t="n"/>
      <c r="Q10" s="31" t="n"/>
      <c r="R10" s="6" t="n"/>
      <c r="S10" s="31" t="n"/>
      <c r="T10" s="31" t="n"/>
      <c r="U10" s="6" t="n"/>
      <c r="V10" s="31" t="n"/>
      <c r="W10" s="31" t="n"/>
      <c r="X10" s="6" t="n"/>
      <c r="Y10" s="31" t="n"/>
      <c r="Z10" s="31" t="n"/>
      <c r="AA10" s="6" t="n"/>
      <c r="AB10" s="31" t="n"/>
      <c r="AC10" s="31" t="n"/>
    </row>
    <row r="11">
      <c r="A11" s="17" t="n"/>
      <c r="B11" s="24" t="n">
        <v>4</v>
      </c>
      <c r="C11" s="25" t="n">
        <v>45748</v>
      </c>
      <c r="D11" s="26" t="n">
        <v>157</v>
      </c>
      <c r="E11" s="27" t="n"/>
      <c r="F11" s="37" t="n"/>
      <c r="G11" s="25" t="n">
        <v>45748</v>
      </c>
      <c r="H11" s="26" t="n">
        <v>152</v>
      </c>
      <c r="I11" s="27" t="n"/>
      <c r="J11" s="37" t="n"/>
      <c r="K11" s="31" t="n"/>
      <c r="L11" s="6" t="n"/>
      <c r="M11" s="31" t="n"/>
      <c r="N11" s="31" t="n"/>
      <c r="O11" s="6" t="n"/>
      <c r="P11" s="31" t="n"/>
      <c r="Q11" s="31" t="n"/>
      <c r="R11" s="6" t="n"/>
      <c r="S11" s="31" t="n"/>
      <c r="T11" s="31" t="n"/>
      <c r="U11" s="6" t="n"/>
      <c r="V11" s="31" t="n"/>
      <c r="W11" s="31" t="n"/>
      <c r="X11" s="6" t="n"/>
      <c r="Y11" s="31" t="n"/>
      <c r="Z11" s="31" t="n"/>
      <c r="AA11" s="6" t="n"/>
      <c r="AB11" s="31" t="n"/>
      <c r="AC11" s="31" t="n"/>
    </row>
    <row r="12">
      <c r="A12" s="17" t="n"/>
      <c r="B12" s="24" t="n">
        <v>5</v>
      </c>
      <c r="C12" s="25" t="n">
        <v>45778</v>
      </c>
      <c r="D12" s="26" t="n">
        <v>0</v>
      </c>
      <c r="E12" s="27" t="n"/>
      <c r="F12" s="37" t="n"/>
      <c r="G12" s="25" t="n">
        <v>45778</v>
      </c>
      <c r="H12" s="26" t="n">
        <v>198</v>
      </c>
      <c r="I12" s="27" t="n"/>
      <c r="J12" s="37" t="n"/>
      <c r="K12" s="31" t="n"/>
      <c r="L12" s="6" t="n"/>
      <c r="M12" s="31" t="n"/>
      <c r="N12" s="31" t="n"/>
      <c r="O12" s="6" t="n"/>
      <c r="P12" s="31" t="n"/>
      <c r="Q12" s="31" t="n"/>
      <c r="R12" s="6" t="n"/>
      <c r="S12" s="31" t="n"/>
      <c r="T12" s="31" t="n"/>
      <c r="U12" s="6" t="n"/>
      <c r="V12" s="31" t="n"/>
      <c r="W12" s="31" t="n"/>
      <c r="X12" s="6" t="n"/>
      <c r="Y12" s="31" t="n"/>
      <c r="Z12" s="31" t="n"/>
      <c r="AA12" s="6" t="n"/>
      <c r="AB12" s="31" t="n"/>
      <c r="AC12" s="31" t="n"/>
    </row>
    <row r="13">
      <c r="A13" s="17" t="n"/>
      <c r="B13" s="24" t="n">
        <v>6</v>
      </c>
      <c r="C13" s="25" t="n">
        <v>45809</v>
      </c>
      <c r="D13" s="26" t="n">
        <v>183</v>
      </c>
      <c r="E13" s="27" t="n"/>
      <c r="F13" s="37" t="n"/>
      <c r="G13" s="25" t="n">
        <v>45809</v>
      </c>
      <c r="H13" s="26" t="n">
        <v>364</v>
      </c>
      <c r="I13" s="27" t="n"/>
      <c r="J13" s="37" t="n"/>
      <c r="K13" s="31" t="n"/>
      <c r="L13" s="6" t="n"/>
      <c r="M13" s="31" t="n"/>
      <c r="N13" s="31" t="n"/>
      <c r="O13" s="6" t="n"/>
      <c r="P13" s="31" t="n"/>
      <c r="Q13" s="31" t="n"/>
      <c r="R13" s="6" t="n"/>
      <c r="S13" s="31" t="n"/>
      <c r="T13" s="31" t="n"/>
      <c r="U13" s="6" t="n"/>
      <c r="V13" s="31" t="n"/>
      <c r="W13" s="31" t="n"/>
      <c r="X13" s="6" t="n"/>
      <c r="Y13" s="31" t="n"/>
      <c r="Z13" s="31" t="n"/>
      <c r="AA13" s="6" t="n"/>
      <c r="AB13" s="31" t="n"/>
      <c r="AC13" s="31" t="n"/>
    </row>
    <row r="14">
      <c r="A14" s="17" t="n"/>
      <c r="B14" s="24" t="n">
        <v>7</v>
      </c>
      <c r="C14" s="25" t="n">
        <v>45839</v>
      </c>
      <c r="D14" s="26" t="n">
        <v>229</v>
      </c>
      <c r="E14" s="32" t="n"/>
      <c r="F14" s="37" t="n"/>
      <c r="G14" s="25" t="n">
        <v>45839</v>
      </c>
      <c r="H14" s="26" t="n">
        <v>371</v>
      </c>
      <c r="I14" s="32" t="n"/>
      <c r="J14" s="37" t="n"/>
      <c r="K14" s="31" t="n"/>
      <c r="L14" s="6" t="n"/>
      <c r="M14" s="33" t="n"/>
      <c r="N14" s="31" t="n"/>
      <c r="O14" s="6" t="n"/>
      <c r="P14" s="33" t="n"/>
      <c r="Q14" s="31" t="n"/>
      <c r="R14" s="6" t="n"/>
      <c r="S14" s="33" t="n"/>
      <c r="T14" s="31" t="n"/>
      <c r="U14" s="6" t="n"/>
      <c r="V14" s="33" t="n"/>
      <c r="W14" s="31" t="n"/>
      <c r="X14" s="6" t="n"/>
      <c r="Y14" s="33" t="n"/>
      <c r="Z14" s="31" t="n"/>
      <c r="AA14" s="6" t="n"/>
      <c r="AB14" s="33" t="n"/>
      <c r="AC14" s="31" t="n"/>
    </row>
    <row r="15">
      <c r="A15" s="17" t="n"/>
      <c r="B15" s="24" t="n">
        <v>8</v>
      </c>
      <c r="C15" s="25" t="n">
        <v>45870</v>
      </c>
      <c r="D15" s="26" t="n">
        <v>371</v>
      </c>
      <c r="E15" s="32" t="n"/>
      <c r="F15" s="37" t="n"/>
      <c r="G15" s="25" t="n">
        <v>45870</v>
      </c>
      <c r="H15" s="26" t="n">
        <v>229</v>
      </c>
      <c r="I15" s="34" t="n"/>
      <c r="J15" s="37" t="n"/>
      <c r="K15" s="31" t="n"/>
      <c r="L15" s="6" t="n"/>
      <c r="M15" s="33" t="n"/>
      <c r="N15" s="31" t="n"/>
      <c r="O15" s="6" t="n"/>
      <c r="P15" s="33" t="n"/>
      <c r="Q15" s="31" t="n"/>
      <c r="R15" s="6" t="n"/>
      <c r="S15" s="33" t="n"/>
      <c r="T15" s="31" t="n"/>
      <c r="U15" s="6" t="n"/>
      <c r="V15" s="33" t="n"/>
      <c r="W15" s="31" t="n"/>
      <c r="X15" s="6" t="n"/>
      <c r="Y15" s="33" t="n"/>
      <c r="Z15" s="31" t="n"/>
      <c r="AA15" s="6" t="n"/>
      <c r="AB15" s="33" t="n"/>
      <c r="AC15" s="31" t="n"/>
    </row>
    <row r="16">
      <c r="A16" s="17" t="n"/>
      <c r="B16" s="24" t="n">
        <v>9</v>
      </c>
      <c r="C16" s="25" t="n">
        <v>45901</v>
      </c>
      <c r="D16" s="26" t="n">
        <v>364</v>
      </c>
      <c r="E16" s="32" t="n"/>
      <c r="F16" s="37" t="n"/>
      <c r="G16" s="25" t="n">
        <v>45901</v>
      </c>
      <c r="H16" s="26" t="n">
        <v>183</v>
      </c>
      <c r="I16" s="34" t="n"/>
      <c r="J16" s="37" t="n"/>
      <c r="K16" s="31" t="n"/>
      <c r="L16" s="6" t="n"/>
      <c r="M16" s="33" t="n"/>
      <c r="N16" s="31" t="n"/>
      <c r="O16" s="6" t="n"/>
      <c r="P16" s="33" t="n"/>
      <c r="Q16" s="31" t="n"/>
      <c r="R16" s="6" t="n"/>
      <c r="S16" s="33" t="n"/>
      <c r="T16" s="31" t="n"/>
      <c r="U16" s="6" t="n"/>
      <c r="V16" s="33" t="n"/>
      <c r="W16" s="31" t="n"/>
      <c r="X16" s="6" t="n"/>
      <c r="Y16" s="33" t="n"/>
      <c r="Z16" s="31" t="n"/>
      <c r="AA16" s="6" t="n"/>
      <c r="AB16" s="33" t="n"/>
      <c r="AC16" s="31" t="n"/>
    </row>
    <row r="17">
      <c r="A17" s="17" t="n"/>
      <c r="B17" s="24" t="n">
        <v>10</v>
      </c>
      <c r="C17" s="25" t="n">
        <v>45931</v>
      </c>
      <c r="D17" s="26" t="n">
        <v>198</v>
      </c>
      <c r="E17" s="32" t="n"/>
      <c r="F17" s="37" t="n"/>
      <c r="G17" s="25" t="n">
        <v>45931</v>
      </c>
      <c r="H17" s="26" t="n">
        <v>0</v>
      </c>
      <c r="I17" s="34" t="n"/>
      <c r="J17" s="37" t="n"/>
      <c r="K17" s="31" t="n"/>
      <c r="L17" s="6" t="n"/>
      <c r="M17" s="33" t="n"/>
      <c r="N17" s="31" t="n"/>
      <c r="O17" s="6" t="n"/>
      <c r="P17" s="33" t="n"/>
      <c r="Q17" s="31" t="n"/>
      <c r="R17" s="6" t="n"/>
      <c r="S17" s="33" t="n"/>
      <c r="T17" s="31" t="n"/>
      <c r="U17" s="6" t="n"/>
      <c r="V17" s="33" t="n"/>
      <c r="W17" s="31" t="n"/>
      <c r="X17" s="6" t="n"/>
      <c r="Y17" s="33" t="n"/>
      <c r="Z17" s="31" t="n"/>
      <c r="AA17" s="6" t="n"/>
      <c r="AB17" s="33" t="n"/>
      <c r="AC17" s="31" t="n"/>
    </row>
    <row r="18">
      <c r="A18" s="17" t="n"/>
      <c r="B18" s="24" t="n">
        <v>11</v>
      </c>
      <c r="C18" s="25" t="n">
        <v>45962</v>
      </c>
      <c r="D18" s="26" t="n">
        <v>152</v>
      </c>
      <c r="E18" s="32" t="n"/>
      <c r="F18" s="37" t="n"/>
      <c r="G18" s="25" t="n">
        <v>45962</v>
      </c>
      <c r="H18" s="26" t="n">
        <v>157</v>
      </c>
      <c r="I18" s="34" t="n"/>
      <c r="J18" s="37" t="n"/>
      <c r="K18" s="31" t="n"/>
      <c r="L18" s="6" t="n"/>
      <c r="M18" s="33" t="n"/>
      <c r="N18" s="31" t="n"/>
      <c r="O18" s="6" t="n"/>
      <c r="P18" s="33" t="n"/>
      <c r="Q18" s="31" t="n"/>
      <c r="R18" s="6" t="n"/>
      <c r="S18" s="33" t="n"/>
      <c r="T18" s="31" t="n"/>
      <c r="U18" s="6" t="n"/>
      <c r="V18" s="33" t="n"/>
      <c r="W18" s="31" t="n"/>
      <c r="X18" s="6" t="n"/>
      <c r="Y18" s="33" t="n"/>
      <c r="Z18" s="31" t="n"/>
      <c r="AA18" s="6" t="n"/>
      <c r="AB18" s="33" t="n"/>
      <c r="AC18" s="31" t="n"/>
    </row>
    <row r="19">
      <c r="A19" s="17" t="n"/>
      <c r="B19" s="24" t="n">
        <v>12</v>
      </c>
      <c r="C19" s="25" t="n">
        <v>45992</v>
      </c>
      <c r="D19" s="26" t="n">
        <v>27</v>
      </c>
      <c r="E19" s="32" t="n"/>
      <c r="F19" s="37" t="n"/>
      <c r="G19" s="25" t="n">
        <v>45992</v>
      </c>
      <c r="H19" s="26" t="n">
        <v>35</v>
      </c>
      <c r="I19" s="34" t="n"/>
      <c r="J19" s="37" t="n"/>
      <c r="K19" s="31" t="n"/>
      <c r="L19" s="6" t="n"/>
      <c r="M19" s="33" t="n"/>
      <c r="N19" s="31" t="n"/>
      <c r="O19" s="6" t="n"/>
      <c r="P19" s="33" t="n"/>
      <c r="Q19" s="31" t="n"/>
      <c r="R19" s="6" t="n"/>
      <c r="S19" s="33" t="n"/>
      <c r="T19" s="31" t="n"/>
      <c r="U19" s="6" t="n"/>
      <c r="V19" s="33" t="n"/>
      <c r="W19" s="31" t="n"/>
      <c r="X19" s="6" t="n"/>
      <c r="Y19" s="33" t="n"/>
      <c r="Z19" s="31" t="n"/>
      <c r="AA19" s="6" t="n"/>
      <c r="AB19" s="33" t="n"/>
      <c r="AC19" s="31" t="n"/>
    </row>
    <row r="20">
      <c r="A20" s="17" t="n"/>
      <c r="B20" s="24" t="n">
        <v>13</v>
      </c>
      <c r="C20" s="25" t="n">
        <v>46023</v>
      </c>
      <c r="D20" s="26" t="n">
        <v>82</v>
      </c>
      <c r="E20" s="32" t="n">
        <v>3440</v>
      </c>
      <c r="F20" s="37">
        <f>(E20-$D$3)/D20</f>
        <v/>
      </c>
      <c r="G20" s="25" t="n">
        <v>46023</v>
      </c>
      <c r="H20" s="26" t="n">
        <v>137</v>
      </c>
      <c r="I20" s="34" t="n">
        <v>3335.34</v>
      </c>
      <c r="J20" s="37">
        <f>(I20-$H$3)/H20</f>
        <v/>
      </c>
      <c r="K20" s="31" t="n"/>
      <c r="L20" s="6" t="n"/>
      <c r="M20" s="35" t="n"/>
      <c r="N20" s="31" t="n"/>
      <c r="O20" s="6" t="n"/>
      <c r="P20" s="35" t="n"/>
      <c r="Q20" s="31" t="n"/>
      <c r="R20" s="6" t="n"/>
      <c r="S20" s="35" t="n"/>
      <c r="T20" s="31" t="n"/>
      <c r="U20" s="6" t="n"/>
      <c r="V20" s="35" t="n"/>
      <c r="W20" s="31" t="n"/>
      <c r="X20" s="6" t="n"/>
      <c r="Y20" s="35" t="n"/>
      <c r="Z20" s="31" t="n"/>
      <c r="AA20" s="6" t="n"/>
      <c r="AB20" s="35" t="n"/>
      <c r="AC20" s="31" t="n"/>
    </row>
    <row r="21">
      <c r="A21" s="17" t="n"/>
      <c r="B21" s="40" t="n">
        <v>14</v>
      </c>
      <c r="C21" s="25" t="n"/>
      <c r="D21" s="37" t="n"/>
      <c r="E21" s="34" t="n"/>
      <c r="F21" s="37" t="n"/>
      <c r="G21" s="25" t="n"/>
      <c r="H21" s="37" t="n"/>
      <c r="I21" s="34" t="n"/>
      <c r="J21" s="37" t="n"/>
      <c r="K21" s="38" t="n"/>
      <c r="L21" s="31" t="n"/>
      <c r="M21" s="39" t="n"/>
      <c r="N21" s="38" t="n"/>
      <c r="O21" s="31" t="n"/>
      <c r="P21" s="39" t="n"/>
      <c r="Q21" s="31" t="n"/>
      <c r="R21" s="31" t="n"/>
      <c r="S21" s="39" t="n"/>
      <c r="T21" s="31" t="n"/>
      <c r="U21" s="31" t="n"/>
      <c r="V21" s="39" t="n"/>
      <c r="W21" s="38" t="n"/>
      <c r="X21" s="31" t="n"/>
      <c r="Y21" s="39" t="n"/>
      <c r="Z21" s="38" t="n"/>
      <c r="AA21" s="31" t="n"/>
      <c r="AB21" s="39" t="n"/>
      <c r="AC21" s="38" t="n"/>
    </row>
    <row r="22">
      <c r="A22" s="17" t="n"/>
      <c r="B22" s="40" t="n"/>
      <c r="C22" s="41" t="inlineStr">
        <is>
          <t>Average</t>
        </is>
      </c>
      <c r="D22" s="42">
        <f>AVERAGE(D9:D21)</f>
        <v/>
      </c>
      <c r="E22" s="43">
        <f>AVERAGE(E14:E21)</f>
        <v/>
      </c>
      <c r="F22" s="44">
        <f>AVERAGE(F14:F21)</f>
        <v/>
      </c>
      <c r="G22" s="41" t="inlineStr">
        <is>
          <t>Average</t>
        </is>
      </c>
      <c r="H22" s="42">
        <f>AVERAGE(H9:H21)</f>
        <v/>
      </c>
      <c r="I22" s="43">
        <f>AVERAGE(I14:I21)</f>
        <v/>
      </c>
      <c r="J22" s="44">
        <f>AVERAGE(J14:J21)</f>
        <v/>
      </c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n"/>
      <c r="Y22" s="45" t="n"/>
      <c r="Z22" s="45" t="n"/>
      <c r="AA22" s="45" t="n"/>
      <c r="AB22" s="45" t="n"/>
      <c r="AC22" s="45" t="n"/>
    </row>
    <row r="23">
      <c r="A23" s="17" t="n"/>
      <c r="B23" s="40" t="n"/>
      <c r="C23" s="41" t="inlineStr">
        <is>
          <t>kW</t>
        </is>
      </c>
      <c r="D23" s="46">
        <f>(D22*12*1.1)/1400</f>
        <v/>
      </c>
      <c r="E23" s="46" t="n"/>
      <c r="F23" s="24" t="n"/>
      <c r="G23" s="41" t="inlineStr">
        <is>
          <t>kW</t>
        </is>
      </c>
      <c r="H23" s="46">
        <f>(H22*12*1.1)/1400</f>
        <v/>
      </c>
      <c r="I23" s="46" t="n"/>
      <c r="J23" s="24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</row>
    <row r="24">
      <c r="A24" s="17" t="n"/>
      <c r="B24" s="40" t="n"/>
      <c r="C24" s="41" t="inlineStr">
        <is>
          <t>Solar Panels</t>
        </is>
      </c>
      <c r="D24" s="46">
        <f>D23/$C$7*1000</f>
        <v/>
      </c>
      <c r="E24" s="46" t="n"/>
      <c r="F24" s="24" t="n"/>
      <c r="G24" s="41" t="inlineStr">
        <is>
          <t>Solar Panels</t>
        </is>
      </c>
      <c r="H24" s="46">
        <f>H23/$C$7*1000</f>
        <v/>
      </c>
      <c r="I24" s="46" t="n"/>
      <c r="J24" s="24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</row>
    <row r="25">
      <c r="A25" s="17" t="inlineStr">
        <is>
          <t>-+</t>
        </is>
      </c>
      <c r="B25" s="40" t="n"/>
      <c r="C25" s="47" t="inlineStr">
        <is>
          <t>Solar capacity</t>
        </is>
      </c>
      <c r="D25" s="48">
        <f>ROUND(D24,0)*$C$7/1000</f>
        <v/>
      </c>
      <c r="E25" s="49" t="n"/>
      <c r="F25" s="50" t="n"/>
      <c r="G25" s="47" t="inlineStr">
        <is>
          <t>Solar capacity</t>
        </is>
      </c>
      <c r="H25" s="48">
        <f>ROUND(H24,0)*$C$7/1000</f>
        <v/>
      </c>
      <c r="I25" s="49" t="n"/>
      <c r="J25" s="50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</row>
    <row r="26">
      <c r="A26" s="17" t="n"/>
      <c r="B26" s="40" t="n"/>
      <c r="C26" s="47" t="inlineStr">
        <is>
          <t>Number of Panels</t>
        </is>
      </c>
      <c r="D26" s="51">
        <f>D25/$C$7*1000</f>
        <v/>
      </c>
      <c r="E26" s="49" t="n"/>
      <c r="F26" s="50" t="n"/>
      <c r="G26" s="47" t="inlineStr">
        <is>
          <t>Number of Panels</t>
        </is>
      </c>
      <c r="H26" s="51">
        <f>H25/$C$7*1000</f>
        <v/>
      </c>
      <c r="I26" s="49" t="n"/>
      <c r="J26" s="50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</row>
    <row r="27">
      <c r="A27" s="17" t="n"/>
      <c r="B27" s="10" t="n"/>
      <c r="C27" s="10" t="n"/>
      <c r="D27" s="10" t="n"/>
      <c r="E27" s="10" t="n"/>
      <c r="F27" s="10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</row>
    <row r="28">
      <c r="A28" s="10" t="n"/>
      <c r="B28" s="10" t="n"/>
      <c r="C28" s="10" t="n"/>
      <c r="D28" s="10" t="n"/>
      <c r="E28" s="10" t="n"/>
      <c r="F28" s="10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10" t="n"/>
      <c r="B29" s="10" t="n"/>
      <c r="C29" s="10" t="inlineStr">
        <is>
          <t>Total solar capacity</t>
        </is>
      </c>
      <c r="D29" s="10">
        <f>sum(25:25)</f>
        <v/>
      </c>
      <c r="E29" s="10" t="n"/>
      <c r="F29" s="10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</row>
    <row r="30">
      <c r="A30" s="10" t="n"/>
      <c r="B30" s="10" t="n"/>
      <c r="C30" s="10" t="inlineStr">
        <is>
          <t>Number of solar panels</t>
        </is>
      </c>
      <c r="D30" s="10">
        <f>sum(26:26)</f>
        <v/>
      </c>
      <c r="E30" s="10" t="n"/>
      <c r="F30" s="10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</row>
    <row r="31">
      <c r="A31" s="10" t="n"/>
      <c r="B31" s="10" t="n"/>
      <c r="C31" s="10" t="n"/>
      <c r="D31" s="10" t="n"/>
      <c r="E31" s="10" t="n"/>
      <c r="F31" s="10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10" t="n"/>
      <c r="B32" s="10" t="n"/>
      <c r="C32" s="10" t="n"/>
      <c r="D32" s="10" t="n"/>
      <c r="E32" s="10" t="n"/>
      <c r="F32" s="10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A33" s="10" t="n"/>
      <c r="B33" s="10" t="n"/>
      <c r="C33" s="10" t="n"/>
      <c r="D33" s="10" t="n"/>
      <c r="E33" s="10" t="n"/>
      <c r="F33" s="10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10" t="n"/>
      <c r="B34" s="10" t="n"/>
      <c r="C34" s="10" t="n"/>
      <c r="D34" s="10" t="n"/>
      <c r="E34" s="10" t="n"/>
      <c r="F34" s="10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10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10" t="n"/>
      <c r="B36" s="52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10" t="n"/>
      <c r="B37" s="52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10" t="n"/>
      <c r="B38" s="52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10" t="n"/>
      <c r="B39" s="52" t="n"/>
      <c r="C39" s="6" t="n"/>
      <c r="D39" s="6" t="n"/>
      <c r="E39" s="6" t="n"/>
      <c r="F39" s="53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10" t="n"/>
      <c r="B40" s="52" t="n"/>
      <c r="C40" s="6" t="n"/>
      <c r="D40" s="6" t="n"/>
      <c r="E40" s="6" t="n"/>
      <c r="F40" s="54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10" t="n"/>
      <c r="B41" s="52" t="n"/>
      <c r="C41" s="6" t="n"/>
      <c r="D41" s="6" t="n"/>
      <c r="E41" s="6" t="n"/>
      <c r="F41" s="54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10" t="n"/>
      <c r="B42" s="52" t="n"/>
      <c r="C42" s="6" t="n"/>
      <c r="D42" s="35" t="n"/>
      <c r="E42" s="6" t="n"/>
      <c r="F42" s="54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10" t="n"/>
      <c r="B43" s="52" t="n"/>
      <c r="C43" s="6" t="n"/>
      <c r="D43" s="35" t="n"/>
      <c r="E43" s="6" t="n"/>
      <c r="F43" s="55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10" t="n"/>
      <c r="B44" s="52" t="n"/>
      <c r="C44" s="6" t="n"/>
      <c r="D44" s="35" t="n"/>
      <c r="E44" s="6" t="n"/>
      <c r="F44" s="56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10" t="n"/>
      <c r="B45" s="52" t="n"/>
      <c r="C45" s="6" t="n"/>
      <c r="D45" s="35" t="n"/>
      <c r="E45" s="6" t="n"/>
      <c r="F45" s="57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10" t="n"/>
      <c r="B46" s="52" t="n"/>
      <c r="C46" s="6" t="n"/>
      <c r="D46" s="35" t="n"/>
      <c r="E46" s="6" t="n"/>
      <c r="F46" s="52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10" t="n"/>
      <c r="B47" s="52" t="n"/>
      <c r="C47" s="6" t="n"/>
      <c r="D47" s="35" t="n"/>
      <c r="E47" s="6" t="n"/>
      <c r="F47" s="52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/>
      <c r="B48" s="52" t="n"/>
      <c r="C48" s="6" t="n"/>
      <c r="D48" s="6" t="n"/>
      <c r="E48" s="6" t="n"/>
      <c r="F48" s="52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/>
      <c r="B49" s="52" t="n"/>
      <c r="C49" s="6" t="n"/>
      <c r="D49" s="6" t="n"/>
      <c r="E49" s="6" t="n"/>
      <c r="F49" s="52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25" t="n"/>
      <c r="C50" s="10" t="n"/>
      <c r="D50" s="58" t="n"/>
      <c r="E50" s="10" t="n"/>
      <c r="F50" s="25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59" t="n"/>
      <c r="C51" s="60" t="n"/>
      <c r="D51" s="61" t="n"/>
      <c r="E51" s="35" t="n"/>
      <c r="F51" s="25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59" t="n"/>
      <c r="C52" s="60" t="n"/>
      <c r="D52" s="61" t="n"/>
      <c r="E52" s="35" t="n"/>
      <c r="F52" s="25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59" t="n"/>
      <c r="C53" s="61" t="n"/>
      <c r="D53" s="61" t="n"/>
      <c r="E53" s="35" t="n"/>
      <c r="F53" s="25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59" t="n"/>
      <c r="C54" s="61" t="n"/>
      <c r="D54" s="61" t="n"/>
      <c r="E54" s="35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59" t="n"/>
      <c r="C55" s="61" t="n"/>
      <c r="D55" s="61" t="n"/>
      <c r="E55" s="35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59" t="n"/>
      <c r="C56" s="61" t="n"/>
      <c r="D56" s="61" t="n"/>
      <c r="E56" s="35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59" t="n"/>
      <c r="C57" s="61" t="n"/>
      <c r="D57" s="61" t="n"/>
      <c r="E57" s="35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59" t="n"/>
      <c r="C58" s="61" t="n"/>
      <c r="D58" s="61" t="n"/>
      <c r="E58" s="35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59" t="n"/>
      <c r="C59" s="61" t="n"/>
      <c r="D59" s="61" t="n"/>
      <c r="E59" s="35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59" t="n"/>
      <c r="C60" s="61" t="n"/>
      <c r="D60" s="61" t="n"/>
      <c r="E60" s="35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59" t="n"/>
      <c r="C61" s="61" t="n"/>
      <c r="D61" s="61" t="n"/>
      <c r="E61" s="35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54" t="n"/>
      <c r="C62" s="61" t="n"/>
      <c r="D62" s="61" t="n"/>
      <c r="E62" s="35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</sheetData>
  <hyperlinks>
    <hyperlink xmlns:r="http://schemas.openxmlformats.org/officeDocument/2006/relationships" ref="B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2026-05-04T11:48:48Z</dcterms:created>
  <dcterms:modified xsi:type="dcterms:W3CDTF">2026-05-04T11:48:48Z</dcterms:modified>
</cp:coreProperties>
</file>